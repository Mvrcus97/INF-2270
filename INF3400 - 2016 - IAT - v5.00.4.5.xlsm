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io-my.sharepoint.com/personal/omidmi_uio_no/Documents/IAT/INF3400 - 2016/"/>
    </mc:Choice>
  </mc:AlternateContent>
  <bookViews>
    <workbookView xWindow="0" yWindow="0" windowWidth="5505" windowHeight="5175" activeTab="1"/>
  </bookViews>
  <sheets>
    <sheet name="Start" sheetId="4" r:id="rId1"/>
    <sheet name="Database" sheetId="2" r:id="rId2"/>
    <sheet name="Static" sheetId="1" r:id="rId3"/>
  </sheets>
  <functionGroups builtInGroupCount="18"/>
  <definedNames>
    <definedName name="Karakter">#REF!</definedName>
    <definedName name="txt_oppg1">Static!$C$5:$C$11</definedName>
    <definedName name="txt_oppg2">Static!$E$5:$E$41</definedName>
    <definedName name="txt_oppg2_n2">Static!#REF!</definedName>
    <definedName name="txt_oppg2_n3">Static!#REF!</definedName>
    <definedName name="txt_oppg2_n4">Static!#REF!</definedName>
    <definedName name="txt_oppg2_n5">Static!#REF!</definedName>
    <definedName name="txt_oppg3">Static!$I$5:$I$41</definedName>
    <definedName name="txt_oppg4">Static!$K$6:$K$41</definedName>
    <definedName name="txt_oppg5">Static!$M$5:$M$41</definedName>
    <definedName name="txt_oppg6a">Static!$O$5:$O$41</definedName>
    <definedName name="txt_oppg6b">Static!$Q$5:$Q$41</definedName>
    <definedName name="txt_oppg7">Static!$W$5:$W$41</definedName>
    <definedName name="txt_oppg8">Static!$AA$5:$AA$41</definedName>
    <definedName name="txt_oppg9">Static!$AC$5:$AC$41</definedName>
  </definedNames>
  <calcPr calcId="162913"/>
</workbook>
</file>

<file path=xl/calcChain.xml><?xml version="1.0" encoding="utf-8"?>
<calcChain xmlns="http://schemas.openxmlformats.org/spreadsheetml/2006/main">
  <c r="P5" i="1" l="1"/>
  <c r="V6" i="1" l="1"/>
  <c r="V5" i="1"/>
  <c r="T6" i="1"/>
  <c r="T5" i="1"/>
  <c r="R6" i="1"/>
  <c r="R5" i="1"/>
</calcChain>
</file>

<file path=xl/sharedStrings.xml><?xml version="1.0" encoding="utf-8"?>
<sst xmlns="http://schemas.openxmlformats.org/spreadsheetml/2006/main" count="234" uniqueCount="76">
  <si>
    <t>Nmos brukt i opptrekket</t>
  </si>
  <si>
    <t>Pmos brukt i nedtrekket</t>
  </si>
  <si>
    <t>Ikke implementert som EN CMOS port</t>
  </si>
  <si>
    <t>Ikke optimal elektrisk implementasjon. Mest mulig diffusjonskapasitanser mot gnd/vdd</t>
  </si>
  <si>
    <t>Oppgave 1</t>
  </si>
  <si>
    <t>Tekst</t>
  </si>
  <si>
    <t>Vekt</t>
  </si>
  <si>
    <t>Kandidatnr</t>
  </si>
  <si>
    <t>Kunnskap</t>
  </si>
  <si>
    <t>Formidling</t>
  </si>
  <si>
    <t>Teknisk</t>
  </si>
  <si>
    <t>Karakter</t>
  </si>
  <si>
    <t>Begrunnelse</t>
  </si>
  <si>
    <t>Kritisk evne</t>
  </si>
  <si>
    <t>Selvstendighet</t>
  </si>
  <si>
    <t>Relevans</t>
  </si>
  <si>
    <t>Intuisjon / modning</t>
  </si>
  <si>
    <t>snakke fag</t>
  </si>
  <si>
    <t>Tidsdisposisjon</t>
  </si>
  <si>
    <t>Ryddighet</t>
  </si>
  <si>
    <t>Slurv</t>
  </si>
  <si>
    <t>Oppgave 2</t>
  </si>
  <si>
    <t>Kritisk signalvei er feil</t>
  </si>
  <si>
    <t>Effort for den valgte signalveien er feil pga feil elektrisk effort</t>
  </si>
  <si>
    <t>Effort for den valgte signalveien er feil pga feil branch effort</t>
  </si>
  <si>
    <t>Effort for den valgte signalveien er feil pga feil logisk effort</t>
  </si>
  <si>
    <t>Oppgave 3</t>
  </si>
  <si>
    <t>oppgave 4</t>
  </si>
  <si>
    <t>Ikke forenklet ved å sette D = 2P</t>
  </si>
  <si>
    <t>Feil i dimensjonering av transistorstørrelser eller ubesvart</t>
  </si>
  <si>
    <t>Oppgave 5</t>
  </si>
  <si>
    <t>Oppgave 6a</t>
  </si>
  <si>
    <t>Oppgave 6b</t>
  </si>
  <si>
    <t>Oppgave 6c</t>
  </si>
  <si>
    <t>Oppgave 6d</t>
  </si>
  <si>
    <t>Oppgave 7</t>
  </si>
  <si>
    <t>Oppgave 8</t>
  </si>
  <si>
    <t>Oppgave 9</t>
  </si>
  <si>
    <t>nivå 2</t>
  </si>
  <si>
    <t>Logisk effort er feil</t>
  </si>
  <si>
    <t>oppgave a</t>
  </si>
  <si>
    <t>Ikke vist til pn-overganger</t>
  </si>
  <si>
    <t>Ikke forklart hva støymargin er</t>
  </si>
  <si>
    <t>Parasitisk tidsforsinkelse er feil</t>
  </si>
  <si>
    <t>oppgave b</t>
  </si>
  <si>
    <t>Ikke vist til hvor latch-up oppstår</t>
  </si>
  <si>
    <t>Ikke forklart hva forsterkning er</t>
  </si>
  <si>
    <t>oppgave c</t>
  </si>
  <si>
    <t>Ikke vist forsterkningen/tilbakekoblingen i latch-up</t>
  </si>
  <si>
    <t>Kandidaten ser ikke den eksponensielle endringen i transkonduktansen når vdd går ned</t>
  </si>
  <si>
    <t>Ikke forklart hvordan kortslutningen skjer</t>
  </si>
  <si>
    <t>Ikke forklart hvor uønskede latch-up oppstår</t>
  </si>
  <si>
    <t>Ikke beskrevet hva som er årsaken til latch-up</t>
  </si>
  <si>
    <t>Elektrisk Effort</t>
  </si>
  <si>
    <t>Ikke vist til riktig sammenhengen med latch-up og transistorstørrelser</t>
  </si>
  <si>
    <t>Ikke diskutert sårbarheten med mindre diffusjonsområde</t>
  </si>
  <si>
    <t>Feil valgt forsterkning</t>
  </si>
  <si>
    <t>Feil valgt støymargin</t>
  </si>
  <si>
    <t>Burde komme i sensorveiledningen og hjelpknappen</t>
  </si>
  <si>
    <t>Oppgave 4</t>
  </si>
  <si>
    <t>Oppgave 6</t>
  </si>
  <si>
    <t>Fritekst</t>
  </si>
  <si>
    <t>listbox width</t>
  </si>
  <si>
    <t>vekt</t>
  </si>
  <si>
    <t>fri tekst</t>
  </si>
  <si>
    <t>Feilvalgt nettverk i opptrekket</t>
  </si>
  <si>
    <t>Feilvalgt nettverk i nedtrekket</t>
  </si>
  <si>
    <t>R er feil i opptrekket</t>
  </si>
  <si>
    <t>R er feil i nedtrekket</t>
  </si>
  <si>
    <t>Cpar er feil i opptrekket</t>
  </si>
  <si>
    <t>Cpar er feil i nedtrekket</t>
  </si>
  <si>
    <t>Feil i uttrykket - angi graden</t>
  </si>
  <si>
    <t>Porten er ikke komplementær - angi graden</t>
  </si>
  <si>
    <t>Matchingsfeil</t>
  </si>
  <si>
    <t>Feil i optimal effort eller ubesvart - angi grad</t>
  </si>
  <si>
    <t>Finner ikke riktig inngangskapasitans verdi eller ubesvart - angi grad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</si>
</sst>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64" formatCode="_ * #,##0_ ;_ * \-#,##0_ ;_ * &quot;-&quot;??_ ;_ @_ 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 applyNumberFormat="1"/>
    <xf numFmtId="1" fontId="0" fillId="0" borderId="0" xfId="0" applyNumberFormat="1"/>
    <xf numFmtId="43" fontId="0" fillId="0" borderId="0" xfId="1" applyFont="1"/>
    <xf numFmtId="164" fontId="0" fillId="0" borderId="0" xfId="1" applyNumberFormat="1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</xdr:row>
          <xdr:rowOff>28575</xdr:rowOff>
        </xdr:from>
        <xdr:to>
          <xdr:col>4</xdr:col>
          <xdr:colOff>9525</xdr:colOff>
          <xdr:row>9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Finn en besvarelse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47625</xdr:rowOff>
        </xdr:from>
        <xdr:to>
          <xdr:col>4</xdr:col>
          <xdr:colOff>28575</xdr:colOff>
          <xdr:row>5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Sensurer en besvarelse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9</xdr:row>
          <xdr:rowOff>152400</xdr:rowOff>
        </xdr:from>
        <xdr:to>
          <xdr:col>4</xdr:col>
          <xdr:colOff>38100</xdr:colOff>
          <xdr:row>14</xdr:row>
          <xdr:rowOff>104775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Matrise oversikt over de rettede kandidater og oppgaver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85296"/>
      </a:hlink>
      <a:folHlink>
        <a:srgbClr val="9933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4:A5"/>
  <sheetViews>
    <sheetView workbookViewId="0">
      <selection activeCell="I16" sqref="I16"/>
    </sheetView>
  </sheetViews>
  <sheetFormatPr defaultColWidth="9.140625" defaultRowHeight="15" x14ac:dyDescent="0.25"/>
  <sheetData>
    <row r="4" ht="14.25" customHeight="1" x14ac:dyDescent="0.25"/>
    <row r="5" ht="15.75" customHeight="1" x14ac:dyDescent="0.25"/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edigere">
                <anchor moveWithCells="1" sizeWithCells="1">
                  <from>
                    <xdr:col>0</xdr:col>
                    <xdr:colOff>47625</xdr:colOff>
                    <xdr:row>5</xdr:row>
                    <xdr:rowOff>28575</xdr:rowOff>
                  </from>
                  <to>
                    <xdr:col>4</xdr:col>
                    <xdr:colOff>9525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Ny_v3">
                <anchor moveWithCells="1" sizeWithCells="1">
                  <from>
                    <xdr:col>0</xdr:col>
                    <xdr:colOff>19050</xdr:colOff>
                    <xdr:row>0</xdr:row>
                    <xdr:rowOff>47625</xdr:rowOff>
                  </from>
                  <to>
                    <xdr:col>4</xdr:col>
                    <xdr:colOff>28575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Matrise">
                <anchor moveWithCells="1" sizeWithCells="1">
                  <from>
                    <xdr:col>0</xdr:col>
                    <xdr:colOff>28575</xdr:colOff>
                    <xdr:row>9</xdr:row>
                    <xdr:rowOff>152400</xdr:rowOff>
                  </from>
                  <to>
                    <xdr:col>4</xdr:col>
                    <xdr:colOff>38100</xdr:colOff>
                    <xdr:row>14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I4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12" sqref="D12"/>
    </sheetView>
  </sheetViews>
  <sheetFormatPr defaultColWidth="9.140625" defaultRowHeight="15" x14ac:dyDescent="0.25"/>
  <cols>
    <col min="1" max="1" width="10.7109375" bestFit="1" customWidth="1"/>
    <col min="2" max="2" width="10.28515625" bestFit="1" customWidth="1"/>
    <col min="3" max="3" width="12.140625" bestFit="1" customWidth="1"/>
    <col min="4" max="4" width="11.42578125" bestFit="1" customWidth="1"/>
    <col min="5" max="5" width="14.42578125" bestFit="1" customWidth="1"/>
    <col min="6" max="6" width="9" bestFit="1" customWidth="1"/>
    <col min="7" max="7" width="18.7109375" bestFit="1" customWidth="1"/>
    <col min="8" max="8" width="10.28515625" bestFit="1" customWidth="1"/>
    <col min="9" max="9" width="14.7109375" bestFit="1" customWidth="1"/>
    <col min="10" max="10" width="10" bestFit="1" customWidth="1"/>
    <col min="11" max="11" width="10" customWidth="1"/>
    <col min="12" max="12" width="7.7109375" bestFit="1" customWidth="1"/>
    <col min="57" max="57" width="5.7109375" customWidth="1"/>
    <col min="58" max="58" width="19" customWidth="1"/>
    <col min="59" max="66" width="6.85546875" customWidth="1"/>
    <col min="69" max="69" width="40.28515625" customWidth="1"/>
  </cols>
  <sheetData>
    <row r="1" spans="1:113" ht="15.75" thickBot="1" x14ac:dyDescent="0.3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</row>
    <row r="2" spans="1:113" ht="15.75" thickBot="1" x14ac:dyDescent="0.3">
      <c r="A2" s="7" t="s">
        <v>7</v>
      </c>
      <c r="B2" s="7" t="s">
        <v>4</v>
      </c>
      <c r="C2" s="7"/>
      <c r="D2" s="7"/>
      <c r="E2" s="7"/>
      <c r="F2" s="7"/>
      <c r="G2" s="7"/>
      <c r="H2" s="7"/>
      <c r="I2" s="7"/>
      <c r="J2" s="7"/>
      <c r="K2" s="7"/>
      <c r="L2" s="7"/>
      <c r="M2" s="7" t="s">
        <v>21</v>
      </c>
      <c r="N2" s="7"/>
      <c r="O2" s="7"/>
      <c r="P2" s="7"/>
      <c r="Q2" s="7"/>
      <c r="R2" s="7"/>
      <c r="S2" s="7"/>
      <c r="T2" s="7"/>
      <c r="U2" s="7"/>
      <c r="V2" s="7"/>
      <c r="W2" s="7"/>
      <c r="X2" s="7" t="s">
        <v>26</v>
      </c>
      <c r="Y2" s="7"/>
      <c r="Z2" s="7"/>
      <c r="AA2" s="7"/>
      <c r="AB2" s="7"/>
      <c r="AC2" s="7"/>
      <c r="AD2" s="7"/>
      <c r="AE2" s="7"/>
      <c r="AF2" s="7"/>
      <c r="AG2" s="7"/>
      <c r="AH2" s="7"/>
      <c r="AI2" s="7" t="s">
        <v>59</v>
      </c>
      <c r="AJ2" s="7"/>
      <c r="AK2" s="7"/>
      <c r="AL2" s="7"/>
      <c r="AM2" s="7"/>
      <c r="AN2" s="7"/>
      <c r="AO2" s="7"/>
      <c r="AP2" s="7"/>
      <c r="AQ2" s="7"/>
      <c r="AR2" s="7"/>
      <c r="AS2" s="7"/>
      <c r="AT2" s="7" t="s">
        <v>30</v>
      </c>
      <c r="AU2" s="7"/>
      <c r="AV2" s="7"/>
      <c r="AW2" s="7"/>
      <c r="AX2" s="7"/>
      <c r="AY2" s="7"/>
      <c r="AZ2" s="7"/>
      <c r="BA2" s="7"/>
      <c r="BB2" s="7"/>
      <c r="BC2" s="7"/>
      <c r="BD2" s="7"/>
      <c r="BE2" s="7" t="s">
        <v>60</v>
      </c>
      <c r="BF2" s="7"/>
      <c r="BG2" s="7"/>
      <c r="BH2" s="7"/>
      <c r="BI2" s="7"/>
      <c r="BJ2" s="7"/>
      <c r="BK2" s="7"/>
      <c r="BL2" s="7"/>
      <c r="BM2" s="7"/>
      <c r="BN2" s="7"/>
      <c r="BO2" s="7"/>
      <c r="BP2" s="7" t="s">
        <v>35</v>
      </c>
      <c r="BQ2" s="7"/>
      <c r="BR2" s="7"/>
      <c r="BS2" s="7"/>
      <c r="BT2" s="7"/>
      <c r="BU2" s="7"/>
      <c r="BV2" s="7"/>
      <c r="BW2" s="7"/>
      <c r="BX2" s="7"/>
      <c r="BY2" s="7"/>
      <c r="BZ2" s="7"/>
      <c r="CA2" s="7" t="s">
        <v>36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7" t="s">
        <v>37</v>
      </c>
      <c r="CM2" s="7"/>
      <c r="CN2" s="7"/>
      <c r="CO2" s="7"/>
      <c r="CP2" s="7"/>
      <c r="CQ2" s="7"/>
      <c r="CR2" s="7"/>
      <c r="CS2" s="7"/>
      <c r="CT2" s="7"/>
      <c r="CU2" s="7"/>
      <c r="CV2" s="7"/>
    </row>
    <row r="3" spans="1:113" ht="15.75" thickBot="1" x14ac:dyDescent="0.3">
      <c r="A3" s="7"/>
      <c r="B3" s="7" t="s">
        <v>8</v>
      </c>
      <c r="C3" s="7"/>
      <c r="D3" s="7" t="s">
        <v>9</v>
      </c>
      <c r="E3" s="7"/>
      <c r="F3" s="7"/>
      <c r="G3" s="7"/>
      <c r="H3" s="7"/>
      <c r="I3" s="8" t="s">
        <v>10</v>
      </c>
      <c r="J3" s="9"/>
      <c r="K3" s="10"/>
      <c r="L3" s="11" t="s">
        <v>64</v>
      </c>
      <c r="M3" s="7" t="s">
        <v>8</v>
      </c>
      <c r="N3" s="7"/>
      <c r="O3" s="7" t="s">
        <v>9</v>
      </c>
      <c r="P3" s="7"/>
      <c r="Q3" s="7"/>
      <c r="R3" s="7"/>
      <c r="S3" s="7"/>
      <c r="T3" s="8" t="s">
        <v>10</v>
      </c>
      <c r="U3" s="9"/>
      <c r="V3" s="10"/>
      <c r="W3" s="11" t="s">
        <v>61</v>
      </c>
      <c r="X3" s="7" t="s">
        <v>8</v>
      </c>
      <c r="Y3" s="7"/>
      <c r="Z3" s="7" t="s">
        <v>9</v>
      </c>
      <c r="AA3" s="7"/>
      <c r="AB3" s="7"/>
      <c r="AC3" s="7"/>
      <c r="AD3" s="7"/>
      <c r="AE3" s="8" t="s">
        <v>10</v>
      </c>
      <c r="AF3" s="9"/>
      <c r="AG3" s="10"/>
      <c r="AH3" s="11" t="s">
        <v>61</v>
      </c>
      <c r="AI3" s="7" t="s">
        <v>8</v>
      </c>
      <c r="AJ3" s="7"/>
      <c r="AK3" s="7" t="s">
        <v>9</v>
      </c>
      <c r="AL3" s="7"/>
      <c r="AM3" s="7"/>
      <c r="AN3" s="7"/>
      <c r="AO3" s="7"/>
      <c r="AP3" s="8" t="s">
        <v>10</v>
      </c>
      <c r="AQ3" s="9"/>
      <c r="AR3" s="10"/>
      <c r="AS3" s="11" t="s">
        <v>61</v>
      </c>
      <c r="AT3" s="7" t="s">
        <v>8</v>
      </c>
      <c r="AU3" s="7"/>
      <c r="AV3" s="7" t="s">
        <v>9</v>
      </c>
      <c r="AW3" s="7"/>
      <c r="AX3" s="7"/>
      <c r="AY3" s="7"/>
      <c r="AZ3" s="7"/>
      <c r="BA3" s="8" t="s">
        <v>10</v>
      </c>
      <c r="BB3" s="9"/>
      <c r="BC3" s="10"/>
      <c r="BD3" s="11" t="s">
        <v>61</v>
      </c>
      <c r="BE3" s="7" t="s">
        <v>8</v>
      </c>
      <c r="BF3" s="7"/>
      <c r="BG3" s="7" t="s">
        <v>9</v>
      </c>
      <c r="BH3" s="7"/>
      <c r="BI3" s="7"/>
      <c r="BJ3" s="7"/>
      <c r="BK3" s="7"/>
      <c r="BL3" s="8" t="s">
        <v>10</v>
      </c>
      <c r="BM3" s="9"/>
      <c r="BN3" s="10"/>
      <c r="BO3" s="11" t="s">
        <v>61</v>
      </c>
      <c r="BP3" s="7" t="s">
        <v>8</v>
      </c>
      <c r="BQ3" s="7"/>
      <c r="BR3" s="7" t="s">
        <v>9</v>
      </c>
      <c r="BS3" s="7"/>
      <c r="BT3" s="7"/>
      <c r="BU3" s="7"/>
      <c r="BV3" s="7"/>
      <c r="BW3" s="8" t="s">
        <v>10</v>
      </c>
      <c r="BX3" s="9"/>
      <c r="BY3" s="10"/>
      <c r="BZ3" s="11" t="s">
        <v>61</v>
      </c>
      <c r="CA3" s="7" t="s">
        <v>8</v>
      </c>
      <c r="CB3" s="7"/>
      <c r="CC3" s="7" t="s">
        <v>9</v>
      </c>
      <c r="CD3" s="7"/>
      <c r="CE3" s="7"/>
      <c r="CF3" s="7"/>
      <c r="CG3" s="7"/>
      <c r="CH3" s="8" t="s">
        <v>10</v>
      </c>
      <c r="CI3" s="9"/>
      <c r="CJ3" s="10"/>
      <c r="CK3" s="11" t="s">
        <v>61</v>
      </c>
      <c r="CL3" s="7" t="s">
        <v>8</v>
      </c>
      <c r="CM3" s="7"/>
      <c r="CN3" s="7" t="s">
        <v>9</v>
      </c>
      <c r="CO3" s="7"/>
      <c r="CP3" s="7"/>
      <c r="CQ3" s="7"/>
      <c r="CR3" s="7"/>
      <c r="CS3" s="8" t="s">
        <v>10</v>
      </c>
      <c r="CT3" s="9"/>
      <c r="CU3" s="10"/>
      <c r="CV3" s="11" t="s">
        <v>61</v>
      </c>
      <c r="CY3" s="7" t="s">
        <v>8</v>
      </c>
      <c r="CZ3" s="7"/>
      <c r="DA3" s="7" t="s">
        <v>9</v>
      </c>
      <c r="DB3" s="7"/>
      <c r="DC3" s="7"/>
      <c r="DD3" s="7"/>
      <c r="DE3" s="7"/>
      <c r="DF3" s="8" t="s">
        <v>10</v>
      </c>
      <c r="DG3" s="9"/>
      <c r="DH3" s="10"/>
      <c r="DI3" s="11" t="s">
        <v>61</v>
      </c>
    </row>
    <row r="4" spans="1:113" ht="15.75" thickBot="1" x14ac:dyDescent="0.3">
      <c r="A4" s="7"/>
      <c r="B4" s="2" t="s">
        <v>11</v>
      </c>
      <c r="C4" s="2" t="s">
        <v>12</v>
      </c>
      <c r="D4" s="2" t="s">
        <v>13</v>
      </c>
      <c r="E4" s="2" t="s">
        <v>14</v>
      </c>
      <c r="F4" s="2" t="s">
        <v>15</v>
      </c>
      <c r="G4" s="2" t="s">
        <v>16</v>
      </c>
      <c r="H4" s="2" t="s">
        <v>17</v>
      </c>
      <c r="I4" s="2" t="s">
        <v>18</v>
      </c>
      <c r="J4" s="2" t="s">
        <v>19</v>
      </c>
      <c r="K4" s="2" t="s">
        <v>20</v>
      </c>
      <c r="L4" s="12"/>
      <c r="M4" s="2" t="s">
        <v>11</v>
      </c>
      <c r="N4" s="2" t="s">
        <v>12</v>
      </c>
      <c r="O4" s="2" t="s">
        <v>13</v>
      </c>
      <c r="P4" s="2" t="s">
        <v>14</v>
      </c>
      <c r="Q4" s="2" t="s">
        <v>15</v>
      </c>
      <c r="R4" s="2" t="s">
        <v>16</v>
      </c>
      <c r="S4" s="2" t="s">
        <v>17</v>
      </c>
      <c r="T4" s="2" t="s">
        <v>18</v>
      </c>
      <c r="U4" s="2" t="s">
        <v>19</v>
      </c>
      <c r="V4" s="2" t="s">
        <v>20</v>
      </c>
      <c r="W4" s="12"/>
      <c r="X4" s="2" t="s">
        <v>11</v>
      </c>
      <c r="Y4" s="2" t="s">
        <v>12</v>
      </c>
      <c r="Z4" s="2" t="s">
        <v>13</v>
      </c>
      <c r="AA4" s="2" t="s">
        <v>14</v>
      </c>
      <c r="AB4" s="2" t="s">
        <v>15</v>
      </c>
      <c r="AC4" s="2" t="s">
        <v>16</v>
      </c>
      <c r="AD4" s="2" t="s">
        <v>17</v>
      </c>
      <c r="AE4" s="2" t="s">
        <v>18</v>
      </c>
      <c r="AF4" s="2" t="s">
        <v>19</v>
      </c>
      <c r="AG4" s="2" t="s">
        <v>20</v>
      </c>
      <c r="AH4" s="12"/>
      <c r="AI4" s="2" t="s">
        <v>11</v>
      </c>
      <c r="AJ4" s="2" t="s">
        <v>12</v>
      </c>
      <c r="AK4" s="2" t="s">
        <v>13</v>
      </c>
      <c r="AL4" s="2" t="s">
        <v>14</v>
      </c>
      <c r="AM4" s="2" t="s">
        <v>15</v>
      </c>
      <c r="AN4" s="2" t="s">
        <v>16</v>
      </c>
      <c r="AO4" s="2" t="s">
        <v>17</v>
      </c>
      <c r="AP4" s="2" t="s">
        <v>18</v>
      </c>
      <c r="AQ4" s="2" t="s">
        <v>19</v>
      </c>
      <c r="AR4" s="2" t="s">
        <v>20</v>
      </c>
      <c r="AS4" s="12"/>
      <c r="AT4" s="2" t="s">
        <v>11</v>
      </c>
      <c r="AU4" s="2" t="s">
        <v>12</v>
      </c>
      <c r="AV4" s="2" t="s">
        <v>13</v>
      </c>
      <c r="AW4" s="2" t="s">
        <v>14</v>
      </c>
      <c r="AX4" s="2" t="s">
        <v>15</v>
      </c>
      <c r="AY4" s="2" t="s">
        <v>16</v>
      </c>
      <c r="AZ4" s="2" t="s">
        <v>17</v>
      </c>
      <c r="BA4" s="2" t="s">
        <v>18</v>
      </c>
      <c r="BB4" s="2" t="s">
        <v>19</v>
      </c>
      <c r="BC4" s="2" t="s">
        <v>20</v>
      </c>
      <c r="BD4" s="12"/>
      <c r="BE4" s="2" t="s">
        <v>11</v>
      </c>
      <c r="BF4" s="2" t="s">
        <v>12</v>
      </c>
      <c r="BG4" s="2" t="s">
        <v>13</v>
      </c>
      <c r="BH4" s="2" t="s">
        <v>14</v>
      </c>
      <c r="BI4" s="2" t="s">
        <v>15</v>
      </c>
      <c r="BJ4" s="2" t="s">
        <v>16</v>
      </c>
      <c r="BK4" s="2" t="s">
        <v>17</v>
      </c>
      <c r="BL4" s="2" t="s">
        <v>18</v>
      </c>
      <c r="BM4" s="2" t="s">
        <v>19</v>
      </c>
      <c r="BN4" s="2" t="s">
        <v>20</v>
      </c>
      <c r="BO4" s="12"/>
      <c r="BP4" s="2" t="s">
        <v>11</v>
      </c>
      <c r="BQ4" s="2" t="s">
        <v>12</v>
      </c>
      <c r="BR4" s="2" t="s">
        <v>13</v>
      </c>
      <c r="BS4" s="2" t="s">
        <v>14</v>
      </c>
      <c r="BT4" s="2" t="s">
        <v>15</v>
      </c>
      <c r="BU4" s="2" t="s">
        <v>16</v>
      </c>
      <c r="BV4" s="2" t="s">
        <v>17</v>
      </c>
      <c r="BW4" s="2" t="s">
        <v>18</v>
      </c>
      <c r="BX4" s="2" t="s">
        <v>19</v>
      </c>
      <c r="BY4" s="2" t="s">
        <v>20</v>
      </c>
      <c r="BZ4" s="12"/>
      <c r="CA4" s="2" t="s">
        <v>11</v>
      </c>
      <c r="CB4" s="2" t="s">
        <v>12</v>
      </c>
      <c r="CC4" s="2" t="s">
        <v>13</v>
      </c>
      <c r="CD4" s="2" t="s">
        <v>14</v>
      </c>
      <c r="CE4" s="2" t="s">
        <v>15</v>
      </c>
      <c r="CF4" s="2" t="s">
        <v>16</v>
      </c>
      <c r="CG4" s="2" t="s">
        <v>17</v>
      </c>
      <c r="CH4" s="2" t="s">
        <v>18</v>
      </c>
      <c r="CI4" s="2" t="s">
        <v>19</v>
      </c>
      <c r="CJ4" s="2" t="s">
        <v>20</v>
      </c>
      <c r="CK4" s="12"/>
      <c r="CL4" s="2" t="s">
        <v>11</v>
      </c>
      <c r="CM4" s="2" t="s">
        <v>12</v>
      </c>
      <c r="CN4" s="2" t="s">
        <v>13</v>
      </c>
      <c r="CO4" s="2" t="s">
        <v>14</v>
      </c>
      <c r="CP4" s="2" t="s">
        <v>15</v>
      </c>
      <c r="CQ4" s="2" t="s">
        <v>16</v>
      </c>
      <c r="CR4" s="2" t="s">
        <v>17</v>
      </c>
      <c r="CS4" s="2" t="s">
        <v>18</v>
      </c>
      <c r="CT4" s="2" t="s">
        <v>19</v>
      </c>
      <c r="CU4" s="2" t="s">
        <v>20</v>
      </c>
      <c r="CV4" s="12"/>
      <c r="CY4" s="2" t="s">
        <v>11</v>
      </c>
      <c r="CZ4" s="2" t="s">
        <v>12</v>
      </c>
      <c r="DA4" s="2" t="s">
        <v>13</v>
      </c>
      <c r="DB4" s="2" t="s">
        <v>14</v>
      </c>
      <c r="DC4" s="2" t="s">
        <v>15</v>
      </c>
      <c r="DD4" s="2" t="s">
        <v>16</v>
      </c>
      <c r="DE4" s="2" t="s">
        <v>17</v>
      </c>
      <c r="DF4" s="2" t="s">
        <v>18</v>
      </c>
      <c r="DG4" s="2" t="s">
        <v>19</v>
      </c>
      <c r="DH4" s="2" t="s">
        <v>20</v>
      </c>
      <c r="DI4" s="12"/>
    </row>
  </sheetData>
  <mergeCells count="50">
    <mergeCell ref="CY3:CZ3"/>
    <mergeCell ref="DA3:DE3"/>
    <mergeCell ref="DF3:DH3"/>
    <mergeCell ref="DI3:DI4"/>
    <mergeCell ref="A2:A4"/>
    <mergeCell ref="B3:C3"/>
    <mergeCell ref="D3:H3"/>
    <mergeCell ref="B2:L2"/>
    <mergeCell ref="I3:K3"/>
    <mergeCell ref="L3:L4"/>
    <mergeCell ref="AI2:AS2"/>
    <mergeCell ref="AT2:BD2"/>
    <mergeCell ref="BE2:BO2"/>
    <mergeCell ref="AI3:AJ3"/>
    <mergeCell ref="M2:W2"/>
    <mergeCell ref="W3:W4"/>
    <mergeCell ref="X2:AH2"/>
    <mergeCell ref="X3:Y3"/>
    <mergeCell ref="Z3:AD3"/>
    <mergeCell ref="AE3:AG3"/>
    <mergeCell ref="AH3:AH4"/>
    <mergeCell ref="AK3:AO3"/>
    <mergeCell ref="AP3:AR3"/>
    <mergeCell ref="M3:N3"/>
    <mergeCell ref="O3:S3"/>
    <mergeCell ref="T3:V3"/>
    <mergeCell ref="BP2:BZ2"/>
    <mergeCell ref="CA2:CK2"/>
    <mergeCell ref="BR3:BV3"/>
    <mergeCell ref="BW3:BY3"/>
    <mergeCell ref="BZ3:BZ4"/>
    <mergeCell ref="CA3:CB3"/>
    <mergeCell ref="CC3:CG3"/>
    <mergeCell ref="CH3:CJ3"/>
    <mergeCell ref="CK3:CK4"/>
    <mergeCell ref="AS3:AS4"/>
    <mergeCell ref="AT3:AU3"/>
    <mergeCell ref="AV3:AZ3"/>
    <mergeCell ref="BA3:BC3"/>
    <mergeCell ref="BD3:BD4"/>
    <mergeCell ref="BE3:BF3"/>
    <mergeCell ref="BG3:BK3"/>
    <mergeCell ref="BL3:BN3"/>
    <mergeCell ref="BO3:BO4"/>
    <mergeCell ref="BP3:BQ3"/>
    <mergeCell ref="CL2:CV2"/>
    <mergeCell ref="CL3:CM3"/>
    <mergeCell ref="CN3:CR3"/>
    <mergeCell ref="CS3:CU3"/>
    <mergeCell ref="CV3:CV4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R43"/>
  <sheetViews>
    <sheetView workbookViewId="0">
      <selection activeCell="C29" sqref="C29"/>
    </sheetView>
  </sheetViews>
  <sheetFormatPr defaultColWidth="9.140625" defaultRowHeight="15" x14ac:dyDescent="0.25"/>
  <cols>
    <col min="2" max="2" width="11" customWidth="1"/>
    <col min="3" max="3" width="45.7109375" customWidth="1"/>
    <col min="4" max="4" width="9.140625" style="3"/>
    <col min="5" max="5" width="28.42578125" bestFit="1" customWidth="1"/>
    <col min="6" max="7" width="28.42578125" customWidth="1"/>
    <col min="9" max="9" width="57.28515625" bestFit="1" customWidth="1"/>
    <col min="11" max="11" width="53.7109375" bestFit="1" customWidth="1"/>
    <col min="13" max="13" width="68.85546875" customWidth="1"/>
    <col min="15" max="15" width="29.28515625" bestFit="1" customWidth="1"/>
    <col min="16" max="16" width="7" bestFit="1" customWidth="1"/>
    <col min="23" max="24" width="21.85546875" customWidth="1"/>
    <col min="25" max="25" width="15.140625" customWidth="1"/>
    <col min="27" max="27" width="45" customWidth="1"/>
    <col min="29" max="29" width="80.140625" bestFit="1" customWidth="1"/>
  </cols>
  <sheetData>
    <row r="1" spans="1:44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</row>
    <row r="2" spans="1:44" x14ac:dyDescent="0.25">
      <c r="B2" t="s">
        <v>62</v>
      </c>
      <c r="C2">
        <v>400</v>
      </c>
    </row>
    <row r="3" spans="1:44" x14ac:dyDescent="0.25">
      <c r="C3" t="s">
        <v>4</v>
      </c>
      <c r="E3" t="s">
        <v>21</v>
      </c>
      <c r="I3" t="s">
        <v>26</v>
      </c>
      <c r="K3" t="s">
        <v>27</v>
      </c>
      <c r="M3" t="s">
        <v>30</v>
      </c>
      <c r="O3" t="s">
        <v>31</v>
      </c>
      <c r="Q3" t="s">
        <v>32</v>
      </c>
      <c r="S3" t="s">
        <v>33</v>
      </c>
      <c r="U3" t="s">
        <v>34</v>
      </c>
      <c r="W3" t="s">
        <v>35</v>
      </c>
      <c r="AA3" t="s">
        <v>36</v>
      </c>
      <c r="AC3" t="s">
        <v>37</v>
      </c>
    </row>
    <row r="4" spans="1:44" x14ac:dyDescent="0.25">
      <c r="C4" t="s">
        <v>5</v>
      </c>
      <c r="D4" s="3" t="s">
        <v>6</v>
      </c>
      <c r="H4" t="s">
        <v>63</v>
      </c>
      <c r="X4" t="s">
        <v>38</v>
      </c>
      <c r="AD4" s="5"/>
    </row>
    <row r="5" spans="1:44" x14ac:dyDescent="0.25">
      <c r="B5">
        <v>0</v>
      </c>
      <c r="C5" t="s">
        <v>72</v>
      </c>
      <c r="D5" s="3">
        <v>-40</v>
      </c>
      <c r="E5" t="s">
        <v>73</v>
      </c>
      <c r="H5">
        <v>-30</v>
      </c>
      <c r="I5" t="s">
        <v>22</v>
      </c>
      <c r="J5" s="4">
        <v>-10</v>
      </c>
      <c r="K5" t="s">
        <v>28</v>
      </c>
      <c r="L5" s="4">
        <v>-30</v>
      </c>
      <c r="M5" t="s">
        <v>72</v>
      </c>
      <c r="N5" s="3">
        <v>-40</v>
      </c>
      <c r="O5" t="s">
        <v>39</v>
      </c>
      <c r="P5" s="4">
        <f>-25*0.5*0.75</f>
        <v>-9.375</v>
      </c>
      <c r="Q5" t="s">
        <v>39</v>
      </c>
      <c r="R5" s="4">
        <f>-25*0.5*0.6</f>
        <v>-7.5</v>
      </c>
      <c r="S5" t="s">
        <v>39</v>
      </c>
      <c r="T5" s="4">
        <f>-25*0.5*0.4</f>
        <v>-5</v>
      </c>
      <c r="U5" t="s">
        <v>39</v>
      </c>
      <c r="V5" s="4">
        <f>-25*0.5*0.5</f>
        <v>-6.25</v>
      </c>
      <c r="W5" t="s">
        <v>56</v>
      </c>
      <c r="Z5" s="6">
        <v>-20</v>
      </c>
      <c r="AA5" t="s">
        <v>41</v>
      </c>
      <c r="AB5" s="4">
        <v>-10</v>
      </c>
      <c r="AC5" t="s">
        <v>42</v>
      </c>
      <c r="AD5" s="6">
        <v>-40</v>
      </c>
    </row>
    <row r="6" spans="1:44" x14ac:dyDescent="0.25">
      <c r="B6">
        <v>1</v>
      </c>
      <c r="C6" t="s">
        <v>0</v>
      </c>
      <c r="D6" s="3">
        <v>-40</v>
      </c>
      <c r="F6" t="s">
        <v>65</v>
      </c>
      <c r="H6">
        <v>-10</v>
      </c>
      <c r="I6" t="s">
        <v>23</v>
      </c>
      <c r="J6" s="4">
        <v>-30</v>
      </c>
      <c r="K6" t="s">
        <v>74</v>
      </c>
      <c r="L6" s="4">
        <v>-10</v>
      </c>
      <c r="M6" t="s">
        <v>0</v>
      </c>
      <c r="N6" s="3">
        <v>-40</v>
      </c>
      <c r="O6" t="s">
        <v>43</v>
      </c>
      <c r="P6" s="4">
        <v>-9</v>
      </c>
      <c r="Q6" t="s">
        <v>43</v>
      </c>
      <c r="R6" s="4">
        <f>-25*0.5*0.6</f>
        <v>-7.5</v>
      </c>
      <c r="S6" t="s">
        <v>43</v>
      </c>
      <c r="T6" s="4">
        <f>-25*0.5*0.4</f>
        <v>-5</v>
      </c>
      <c r="U6" t="s">
        <v>43</v>
      </c>
      <c r="V6" s="4">
        <f>-25*0.5*0.5</f>
        <v>-6.25</v>
      </c>
      <c r="W6" t="s">
        <v>57</v>
      </c>
      <c r="Z6" s="6">
        <v>-20</v>
      </c>
      <c r="AA6" t="s">
        <v>45</v>
      </c>
      <c r="AB6" s="4">
        <v>-10</v>
      </c>
      <c r="AC6" t="s">
        <v>46</v>
      </c>
      <c r="AD6" s="6">
        <v>-30</v>
      </c>
    </row>
    <row r="7" spans="1:44" x14ac:dyDescent="0.25">
      <c r="B7">
        <v>2</v>
      </c>
      <c r="C7" t="s">
        <v>1</v>
      </c>
      <c r="D7" s="3">
        <v>-40</v>
      </c>
      <c r="F7" t="s">
        <v>66</v>
      </c>
      <c r="H7">
        <v>-10</v>
      </c>
      <c r="I7" t="s">
        <v>24</v>
      </c>
      <c r="J7" s="4">
        <v>-20</v>
      </c>
      <c r="K7" t="s">
        <v>75</v>
      </c>
      <c r="L7" s="4">
        <v>-30</v>
      </c>
      <c r="M7" t="s">
        <v>1</v>
      </c>
      <c r="N7" s="3">
        <v>-40</v>
      </c>
      <c r="X7" t="s">
        <v>39</v>
      </c>
      <c r="Y7" t="s">
        <v>40</v>
      </c>
      <c r="Z7" s="6">
        <v>-10</v>
      </c>
      <c r="AA7" t="s">
        <v>48</v>
      </c>
      <c r="AB7" s="4">
        <v>-20</v>
      </c>
      <c r="AC7" t="s">
        <v>49</v>
      </c>
      <c r="AD7" s="6">
        <v>-10</v>
      </c>
    </row>
    <row r="8" spans="1:44" x14ac:dyDescent="0.25">
      <c r="B8">
        <v>3</v>
      </c>
      <c r="C8" t="s">
        <v>2</v>
      </c>
      <c r="D8" s="3">
        <v>-30</v>
      </c>
      <c r="F8" t="s">
        <v>67</v>
      </c>
      <c r="H8">
        <v>-5</v>
      </c>
      <c r="I8" t="s">
        <v>25</v>
      </c>
      <c r="J8" s="4">
        <v>-20</v>
      </c>
      <c r="K8" t="s">
        <v>29</v>
      </c>
      <c r="L8" s="4">
        <v>-30</v>
      </c>
      <c r="M8" t="s">
        <v>2</v>
      </c>
      <c r="N8" s="3">
        <v>-30</v>
      </c>
      <c r="Y8" t="s">
        <v>44</v>
      </c>
      <c r="Z8" s="6">
        <v>-5</v>
      </c>
      <c r="AA8" t="s">
        <v>50</v>
      </c>
      <c r="AB8" s="4">
        <v>-20</v>
      </c>
      <c r="AD8" s="5"/>
    </row>
    <row r="9" spans="1:44" x14ac:dyDescent="0.25">
      <c r="B9">
        <v>4</v>
      </c>
      <c r="C9" t="s">
        <v>3</v>
      </c>
      <c r="D9" s="3">
        <v>-10</v>
      </c>
      <c r="F9" t="s">
        <v>68</v>
      </c>
      <c r="H9">
        <v>-5</v>
      </c>
      <c r="M9" t="s">
        <v>3</v>
      </c>
      <c r="N9" s="3">
        <v>-10</v>
      </c>
      <c r="Y9" t="s">
        <v>47</v>
      </c>
      <c r="Z9" s="6">
        <v>-5</v>
      </c>
      <c r="AA9" t="s">
        <v>51</v>
      </c>
      <c r="AB9" s="4">
        <v>-10</v>
      </c>
    </row>
    <row r="10" spans="1:44" x14ac:dyDescent="0.25">
      <c r="B10">
        <v>5</v>
      </c>
      <c r="C10" t="s">
        <v>71</v>
      </c>
      <c r="D10" s="3">
        <v>-30</v>
      </c>
      <c r="F10" t="s">
        <v>69</v>
      </c>
      <c r="H10">
        <v>-5</v>
      </c>
      <c r="M10" t="s">
        <v>71</v>
      </c>
      <c r="N10" s="3">
        <v>-30</v>
      </c>
      <c r="X10" t="s">
        <v>43</v>
      </c>
      <c r="Y10" t="s">
        <v>40</v>
      </c>
      <c r="Z10" s="6">
        <v>-10</v>
      </c>
      <c r="AA10" t="s">
        <v>52</v>
      </c>
      <c r="AB10" s="4">
        <v>-20</v>
      </c>
    </row>
    <row r="11" spans="1:44" x14ac:dyDescent="0.25">
      <c r="B11">
        <v>6</v>
      </c>
      <c r="F11" t="s">
        <v>70</v>
      </c>
      <c r="H11">
        <v>-5</v>
      </c>
      <c r="N11" s="4"/>
      <c r="Y11" t="s">
        <v>44</v>
      </c>
      <c r="Z11" s="6">
        <v>-5</v>
      </c>
      <c r="AA11" t="s">
        <v>54</v>
      </c>
      <c r="AB11" s="4">
        <v>-20</v>
      </c>
    </row>
    <row r="12" spans="1:44" x14ac:dyDescent="0.25">
      <c r="B12">
        <v>7</v>
      </c>
      <c r="G12" t="s">
        <v>65</v>
      </c>
      <c r="H12">
        <v>-10</v>
      </c>
      <c r="N12" s="4"/>
      <c r="Y12" t="s">
        <v>47</v>
      </c>
      <c r="Z12" s="6">
        <v>-5</v>
      </c>
      <c r="AA12" t="s">
        <v>55</v>
      </c>
      <c r="AB12" s="4">
        <v>-10</v>
      </c>
    </row>
    <row r="13" spans="1:44" x14ac:dyDescent="0.25">
      <c r="B13">
        <v>8</v>
      </c>
      <c r="G13" t="s">
        <v>66</v>
      </c>
      <c r="H13">
        <v>-10</v>
      </c>
      <c r="X13" t="s">
        <v>53</v>
      </c>
      <c r="Y13" t="s">
        <v>40</v>
      </c>
      <c r="Z13" s="6">
        <v>-10</v>
      </c>
      <c r="AB13" s="4"/>
    </row>
    <row r="14" spans="1:44" x14ac:dyDescent="0.25">
      <c r="B14">
        <v>9</v>
      </c>
      <c r="G14" t="s">
        <v>67</v>
      </c>
      <c r="H14">
        <v>-5</v>
      </c>
      <c r="Y14" t="s">
        <v>44</v>
      </c>
      <c r="Z14" s="6">
        <v>-5</v>
      </c>
    </row>
    <row r="15" spans="1:44" x14ac:dyDescent="0.25">
      <c r="B15">
        <v>10</v>
      </c>
      <c r="G15" t="s">
        <v>68</v>
      </c>
      <c r="H15">
        <v>-5</v>
      </c>
      <c r="Y15" t="s">
        <v>47</v>
      </c>
      <c r="Z15" s="6">
        <v>-5</v>
      </c>
    </row>
    <row r="16" spans="1:44" x14ac:dyDescent="0.25">
      <c r="B16">
        <v>11</v>
      </c>
      <c r="G16" t="s">
        <v>69</v>
      </c>
      <c r="H16">
        <v>-5</v>
      </c>
    </row>
    <row r="17" spans="2:28" x14ac:dyDescent="0.25">
      <c r="B17">
        <v>12</v>
      </c>
      <c r="G17" t="s">
        <v>70</v>
      </c>
      <c r="H17">
        <v>-5</v>
      </c>
    </row>
    <row r="18" spans="2:28" x14ac:dyDescent="0.25">
      <c r="B18">
        <v>13</v>
      </c>
    </row>
    <row r="19" spans="2:28" x14ac:dyDescent="0.25">
      <c r="B19">
        <v>14</v>
      </c>
    </row>
    <row r="20" spans="2:28" x14ac:dyDescent="0.25">
      <c r="B20">
        <v>15</v>
      </c>
    </row>
    <row r="21" spans="2:28" x14ac:dyDescent="0.25">
      <c r="B21">
        <v>16</v>
      </c>
      <c r="N21" s="4"/>
    </row>
    <row r="22" spans="2:28" x14ac:dyDescent="0.25">
      <c r="B22">
        <v>17</v>
      </c>
      <c r="N22" s="4"/>
      <c r="AB22" s="4"/>
    </row>
    <row r="23" spans="2:28" x14ac:dyDescent="0.25">
      <c r="B23">
        <v>18</v>
      </c>
      <c r="AB23" s="4"/>
    </row>
    <row r="24" spans="2:28" x14ac:dyDescent="0.25">
      <c r="B24">
        <v>19</v>
      </c>
      <c r="AB24" s="4"/>
    </row>
    <row r="25" spans="2:28" x14ac:dyDescent="0.25">
      <c r="B25">
        <v>20</v>
      </c>
      <c r="AB25" s="4"/>
    </row>
    <row r="26" spans="2:28" x14ac:dyDescent="0.25">
      <c r="B26">
        <v>21</v>
      </c>
      <c r="AB26" s="4"/>
    </row>
    <row r="27" spans="2:28" x14ac:dyDescent="0.25">
      <c r="B27">
        <v>22</v>
      </c>
      <c r="AB27" s="4"/>
    </row>
    <row r="28" spans="2:28" x14ac:dyDescent="0.25">
      <c r="B28">
        <v>23</v>
      </c>
      <c r="AB28" s="4"/>
    </row>
    <row r="29" spans="2:28" x14ac:dyDescent="0.25">
      <c r="B29">
        <v>24</v>
      </c>
    </row>
    <row r="30" spans="2:28" x14ac:dyDescent="0.25">
      <c r="B30">
        <v>25</v>
      </c>
      <c r="Z30" s="5"/>
    </row>
    <row r="31" spans="2:28" x14ac:dyDescent="0.25">
      <c r="B31">
        <v>26</v>
      </c>
    </row>
    <row r="32" spans="2:28" x14ac:dyDescent="0.25">
      <c r="B32">
        <v>27</v>
      </c>
    </row>
    <row r="33" spans="2:29" x14ac:dyDescent="0.25">
      <c r="B33">
        <v>28</v>
      </c>
    </row>
    <row r="34" spans="2:29" x14ac:dyDescent="0.25">
      <c r="B34">
        <v>29</v>
      </c>
    </row>
    <row r="43" spans="2:29" x14ac:dyDescent="0.25">
      <c r="AC43" t="s">
        <v>58</v>
      </c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Start</vt:lpstr>
      <vt:lpstr>Database</vt:lpstr>
      <vt:lpstr>Static</vt:lpstr>
      <vt:lpstr>txt_oppg1</vt:lpstr>
      <vt:lpstr>txt_oppg2</vt:lpstr>
      <vt:lpstr>txt_oppg3</vt:lpstr>
      <vt:lpstr>txt_oppg4</vt:lpstr>
      <vt:lpstr>txt_oppg5</vt:lpstr>
      <vt:lpstr>txt_oppg6a</vt:lpstr>
      <vt:lpstr>txt_oppg6b</vt:lpstr>
      <vt:lpstr>txt_oppg7</vt:lpstr>
      <vt:lpstr>txt_oppg8</vt:lpstr>
      <vt:lpstr>txt_oppg9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Omid Mirmotahari</dc:creator>
  <cp:keywords/>
  <dc:description/>
  <cp:lastModifiedBy>User</cp:lastModifiedBy>
  <cp:revision/>
  <cp:lastPrinted>2017-03-19T14:52:47Z</cp:lastPrinted>
  <dcterms:created xsi:type="dcterms:W3CDTF">2017-03-18T15:57:46Z</dcterms:created>
  <dcterms:modified xsi:type="dcterms:W3CDTF">2018-04-29T18:59:24Z</dcterms:modified>
  <cp:category/>
  <cp:contentStatus/>
</cp:coreProperties>
</file>